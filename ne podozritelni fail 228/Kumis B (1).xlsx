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675" activeTab="1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<sst xmlns="http://schemas.openxmlformats.org/spreadsheetml/2006/main" count="63" uniqueCount="61">
  <si>
    <t>Показатели</t>
  </si>
  <si>
    <t>Усл. обозн</t>
  </si>
  <si>
    <t>Годовой объем оборота(Выручка), млн. руб.</t>
  </si>
  <si>
    <t>Т</t>
  </si>
  <si>
    <t>Однодневный оборот, млн. руб.</t>
  </si>
  <si>
    <t>То</t>
  </si>
  <si>
    <t>Чистая прибыль, млн. руб.</t>
  </si>
  <si>
    <t>Пч</t>
  </si>
  <si>
    <r>
      <rPr>
        <sz val="11"/>
        <color rgb="FF000000"/>
        <rFont val="Times New Roman"/>
        <charset val="134"/>
      </rPr>
      <t xml:space="preserve">Прибыль от продаж, </t>
    </r>
    <r>
      <rPr>
        <sz val="11"/>
        <color theme="1"/>
        <rFont val="Times New Roman"/>
        <charset val="134"/>
      </rPr>
      <t>млн. руб.</t>
    </r>
  </si>
  <si>
    <t>Пп</t>
  </si>
  <si>
    <t>Издержки обращения, млн. руб.</t>
  </si>
  <si>
    <t>ИО</t>
  </si>
  <si>
    <t>Себестоимость продаж, млн. руб.</t>
  </si>
  <si>
    <t>Сс</t>
  </si>
  <si>
    <t>Запасы на начало года, млн. руб.</t>
  </si>
  <si>
    <t>Знг</t>
  </si>
  <si>
    <t>Запасы на конец года млн. руб.</t>
  </si>
  <si>
    <t>Зкг</t>
  </si>
  <si>
    <t>Дебиторская задолженность млн. руб.</t>
  </si>
  <si>
    <t>ДЗ</t>
  </si>
  <si>
    <t>Денежные средства млн. руб.</t>
  </si>
  <si>
    <t>ДС</t>
  </si>
  <si>
    <t>Краткосрочная задолженность, млн. руб.</t>
  </si>
  <si>
    <t>КЗ</t>
  </si>
  <si>
    <t>Собственный капитал, млн. руб.</t>
  </si>
  <si>
    <t>СК</t>
  </si>
  <si>
    <t>Валюта баланса, млн. руб.</t>
  </si>
  <si>
    <t>ВБ</t>
  </si>
  <si>
    <t>Внеоборотные активы, млн. руб.</t>
  </si>
  <si>
    <t>ВА</t>
  </si>
  <si>
    <t>Оборотные активы, млн. руб.</t>
  </si>
  <si>
    <t>ОА</t>
  </si>
  <si>
    <t>Усл. обозн.</t>
  </si>
  <si>
    <t>Рентабельность продаж,%</t>
  </si>
  <si>
    <t>Рп</t>
  </si>
  <si>
    <t>Рентабельность коммерческой деятельности, %</t>
  </si>
  <si>
    <t>Ркд</t>
  </si>
  <si>
    <t>Рентабельность затрат</t>
  </si>
  <si>
    <t>Рз</t>
  </si>
  <si>
    <t>Рентабельность собственного капитала, %</t>
  </si>
  <si>
    <t>ROE</t>
  </si>
  <si>
    <t>Средние товарные запасы, тыс. руб.</t>
  </si>
  <si>
    <t>ТЗ</t>
  </si>
  <si>
    <t>Оборачиваемость товарных запасов, дни</t>
  </si>
  <si>
    <t>Оборачиваемость товарных запасов, раз</t>
  </si>
  <si>
    <t>Ор</t>
  </si>
  <si>
    <t>Оборачиваемость дебиторской задолженности, дни</t>
  </si>
  <si>
    <t>Дз</t>
  </si>
  <si>
    <t>Коэффициент текущей ликвидности</t>
  </si>
  <si>
    <t>Тл</t>
  </si>
  <si>
    <t>Коэффициент абсолютной ликвидности</t>
  </si>
  <si>
    <t>Ал</t>
  </si>
  <si>
    <t>Коэффициент финансовой независимости</t>
  </si>
  <si>
    <t>Кфн</t>
  </si>
  <si>
    <t>Коэффициент обеспеченности собственными оборотными средствами</t>
  </si>
  <si>
    <t>Ксо</t>
  </si>
  <si>
    <t>Уровень коммерческих расходов</t>
  </si>
  <si>
    <t>Укр</t>
  </si>
  <si>
    <t>Валовая рентабельность</t>
  </si>
  <si>
    <t>GPM</t>
  </si>
  <si>
    <t>Несмотря на уверенный рост выручки, предприятие столкнулось со снижением маржинальности продаж и увеличением доли заемных средств, что требует контроля долговой нагрузки. Положительным моментом является значительное ускорение работы с дебиторской задолженностью, период оборачиваемости которой сократился вдвое, а также улучшение оборачиваемости запасов. Коэффициенты ликвидности демонстрируют небольшое улучшение, однако остаются на уровнях, требующих внимания к абсолютной платежеспособности. Снижение рентабельности затрат сигнализирует о необходимости оптимизации расходов, несмотря на рост общей эффективности бизнес-процессов. Главной стратегической задачей становится повышение финансовой независимости для компенсации рисков, связанных с ростом складских запасов и обязательств. В целом текущая деятельность оценивается положительно благодаря улучшению управления оборотными активами, но финансовая устойчивость нуждается в укреплении.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</si>
</sst>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2"/>
      <color theme="1"/>
      <name val="Segoe UI"/>
      <charset val="134"/>
    </font>
    <font>
      <sz val="11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3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176" fontId="1" fillId="0" borderId="0" xfId="1" applyFont="1" applyAlignment="1">
      <alignment horizontal="center" vertical="top" wrapText="1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M8" sqref="M8"/>
    </sheetView>
  </sheetViews>
  <sheetFormatPr defaultColWidth="9.14285714285714" defaultRowHeight="15" outlineLevelCol="4"/>
  <cols>
    <col min="2" max="2" width="21" customWidth="1"/>
  </cols>
  <sheetData>
    <row r="1" ht="30" spans="2:5">
      <c r="B1" s="1" t="s">
        <v>0</v>
      </c>
      <c r="C1" s="2" t="s">
        <v>1</v>
      </c>
      <c r="D1" s="2">
        <v>2024</v>
      </c>
      <c r="E1" s="2">
        <v>2025</v>
      </c>
    </row>
    <row r="2" ht="45" spans="1:5">
      <c r="A2" s="1">
        <v>1</v>
      </c>
      <c r="B2" s="1" t="s">
        <v>2</v>
      </c>
      <c r="C2" s="4" t="s">
        <v>3</v>
      </c>
      <c r="D2" s="2">
        <v>40850.5</v>
      </c>
      <c r="E2" s="7">
        <v>47632.5</v>
      </c>
    </row>
    <row r="3" ht="30" spans="1:5">
      <c r="A3" s="1">
        <v>2</v>
      </c>
      <c r="B3" s="1" t="s">
        <v>4</v>
      </c>
      <c r="C3" s="4" t="s">
        <v>5</v>
      </c>
      <c r="D3" s="2">
        <v>111.9</v>
      </c>
      <c r="E3" s="2">
        <v>130.5</v>
      </c>
    </row>
    <row r="4" ht="30" spans="1:5">
      <c r="A4" s="1">
        <v>3</v>
      </c>
      <c r="B4" s="1" t="s">
        <v>6</v>
      </c>
      <c r="C4" s="4" t="s">
        <v>7</v>
      </c>
      <c r="D4" s="7">
        <v>1686.4</v>
      </c>
      <c r="E4" s="2">
        <v>1776.4</v>
      </c>
    </row>
    <row r="5" ht="30" spans="1:5">
      <c r="A5" s="8">
        <v>4</v>
      </c>
      <c r="B5" s="8" t="s">
        <v>8</v>
      </c>
      <c r="C5" s="9" t="s">
        <v>9</v>
      </c>
      <c r="D5" s="9">
        <v>11722.1</v>
      </c>
      <c r="E5" s="9">
        <v>13910.9</v>
      </c>
    </row>
    <row r="6" ht="30" spans="1:5">
      <c r="A6" s="1">
        <v>5</v>
      </c>
      <c r="B6" s="1" t="s">
        <v>10</v>
      </c>
      <c r="C6" s="4" t="s">
        <v>11</v>
      </c>
      <c r="D6" s="7">
        <v>9699.9</v>
      </c>
      <c r="E6" s="7">
        <v>13132</v>
      </c>
    </row>
    <row r="7" ht="30" spans="1:5">
      <c r="A7" s="1">
        <v>6</v>
      </c>
      <c r="B7" s="1" t="s">
        <v>12</v>
      </c>
      <c r="C7" s="4" t="s">
        <v>13</v>
      </c>
      <c r="D7" s="7">
        <v>29128.4</v>
      </c>
      <c r="E7" s="2">
        <v>33721.6</v>
      </c>
    </row>
    <row r="8" ht="30" spans="1:5">
      <c r="A8" s="1">
        <v>7</v>
      </c>
      <c r="B8" s="1" t="s">
        <v>14</v>
      </c>
      <c r="C8" s="4" t="s">
        <v>15</v>
      </c>
      <c r="D8" s="2">
        <v>7596.6</v>
      </c>
      <c r="E8" s="2">
        <v>9094.7</v>
      </c>
    </row>
    <row r="9" ht="30" spans="1:5">
      <c r="A9" s="1">
        <v>8</v>
      </c>
      <c r="B9" s="1" t="s">
        <v>16</v>
      </c>
      <c r="C9" s="4" t="s">
        <v>17</v>
      </c>
      <c r="D9" s="2">
        <v>9094.7</v>
      </c>
      <c r="E9" s="2">
        <v>9648.6</v>
      </c>
    </row>
    <row r="10" ht="45" spans="1:5">
      <c r="A10" s="1">
        <v>9</v>
      </c>
      <c r="B10" s="1" t="s">
        <v>18</v>
      </c>
      <c r="C10" s="4" t="s">
        <v>19</v>
      </c>
      <c r="D10" s="2">
        <v>1296.5</v>
      </c>
      <c r="E10" s="2">
        <v>3410.8</v>
      </c>
    </row>
    <row r="11" ht="30" spans="1:5">
      <c r="A11" s="1">
        <v>10</v>
      </c>
      <c r="B11" s="1" t="s">
        <v>20</v>
      </c>
      <c r="C11" s="4" t="s">
        <v>21</v>
      </c>
      <c r="D11" s="2">
        <v>263.9</v>
      </c>
      <c r="E11" s="2">
        <v>470.4</v>
      </c>
    </row>
    <row r="12" ht="45" spans="1:5">
      <c r="A12" s="1">
        <v>11</v>
      </c>
      <c r="B12" s="1" t="s">
        <v>22</v>
      </c>
      <c r="C12" s="4" t="s">
        <v>23</v>
      </c>
      <c r="D12" s="2">
        <v>7972.1</v>
      </c>
      <c r="E12" s="2">
        <v>8773.2</v>
      </c>
    </row>
    <row r="13" ht="30" spans="1:5">
      <c r="A13" s="1">
        <v>12</v>
      </c>
      <c r="B13" s="1" t="s">
        <v>24</v>
      </c>
      <c r="C13" s="4" t="s">
        <v>25</v>
      </c>
      <c r="D13" s="2">
        <v>9728.4</v>
      </c>
      <c r="E13" s="7">
        <v>9993.1</v>
      </c>
    </row>
    <row r="14" ht="30" spans="1:5">
      <c r="A14" s="1">
        <v>13</v>
      </c>
      <c r="B14" s="1" t="s">
        <v>26</v>
      </c>
      <c r="C14" s="4" t="s">
        <v>27</v>
      </c>
      <c r="D14" s="2">
        <v>18701.3</v>
      </c>
      <c r="E14" s="2">
        <v>20473.5</v>
      </c>
    </row>
    <row r="15" ht="30" spans="1:5">
      <c r="A15" s="1">
        <v>14</v>
      </c>
      <c r="B15" s="1" t="s">
        <v>28</v>
      </c>
      <c r="C15" s="4" t="s">
        <v>29</v>
      </c>
      <c r="D15" s="2">
        <v>6352.7</v>
      </c>
      <c r="E15" s="2">
        <v>6512.9</v>
      </c>
    </row>
    <row r="16" ht="30" spans="1:5">
      <c r="A16" s="1">
        <v>15</v>
      </c>
      <c r="B16" s="1" t="s">
        <v>30</v>
      </c>
      <c r="C16" s="4" t="s">
        <v>31</v>
      </c>
      <c r="D16" s="2">
        <v>12348.5</v>
      </c>
      <c r="E16" s="2">
        <v>13960.6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topLeftCell="A3" workbookViewId="0">
      <selection activeCell="B17" sqref="B17"/>
    </sheetView>
  </sheetViews>
  <sheetFormatPr defaultColWidth="9.14285714285714" defaultRowHeight="15" outlineLevelCol="4"/>
  <cols>
    <col min="2" max="2" width="24.1428571428571" customWidth="1"/>
    <col min="4" max="4" width="12.8571428571429"/>
    <col min="5" max="5" width="9.85714285714286"/>
  </cols>
  <sheetData>
    <row r="1" ht="30" spans="2:5">
      <c r="B1" s="1" t="s">
        <v>0</v>
      </c>
      <c r="C1" s="2" t="s">
        <v>32</v>
      </c>
      <c r="D1" s="1">
        <v>2024</v>
      </c>
      <c r="E1" s="1">
        <v>2025</v>
      </c>
    </row>
    <row r="2" ht="30" spans="1:5">
      <c r="A2" s="1">
        <v>1</v>
      </c>
      <c r="B2" s="1" t="s">
        <v>33</v>
      </c>
      <c r="C2" s="2" t="s">
        <v>34</v>
      </c>
      <c r="D2" s="3">
        <f>Лист1!D4/Лист1!D2</f>
        <v>0.0412822364475343</v>
      </c>
      <c r="E2" s="3">
        <f>Лист1!E4/Лист1!E2</f>
        <v>0.0372938644832835</v>
      </c>
    </row>
    <row r="3" ht="45" spans="1:5">
      <c r="A3" s="1">
        <v>2</v>
      </c>
      <c r="B3" s="1" t="s">
        <v>35</v>
      </c>
      <c r="C3" s="2" t="s">
        <v>36</v>
      </c>
      <c r="D3" s="3">
        <f>Лист1!D5/Лист1!D2</f>
        <v>0.28695120010771</v>
      </c>
      <c r="E3" s="3">
        <f>Лист1!E5/Лист1!E2</f>
        <v>0.292046396892878</v>
      </c>
    </row>
    <row r="4" spans="1:5">
      <c r="A4" s="1">
        <v>3</v>
      </c>
      <c r="B4" s="1" t="s">
        <v>37</v>
      </c>
      <c r="C4" s="2" t="s">
        <v>38</v>
      </c>
      <c r="D4" s="3">
        <f>Лист1!D4/Лист1!D6</f>
        <v>0.173857462448066</v>
      </c>
      <c r="E4" s="3">
        <f>Лист1!E4/Лист1!E6</f>
        <v>0.13527261650929</v>
      </c>
    </row>
    <row r="5" ht="30" spans="1:5">
      <c r="A5" s="1">
        <v>4</v>
      </c>
      <c r="B5" s="1" t="s">
        <v>39</v>
      </c>
      <c r="C5" s="2" t="s">
        <v>40</v>
      </c>
      <c r="D5" s="3">
        <f>Лист1!D4/Лист1!D13</f>
        <v>0.173348135356276</v>
      </c>
      <c r="E5" s="3">
        <f>Лист1!E4/Лист1!E13</f>
        <v>0.177762656232801</v>
      </c>
    </row>
    <row r="6" ht="30" spans="1:5">
      <c r="A6" s="1">
        <v>5</v>
      </c>
      <c r="B6" s="1" t="s">
        <v>41</v>
      </c>
      <c r="C6" s="4" t="s">
        <v>42</v>
      </c>
      <c r="D6" s="5">
        <f>(Лист1!D8+Лист1!D9)/2</f>
        <v>8345.65</v>
      </c>
      <c r="E6" s="5">
        <f>(Лист1!E8+Лист1!E9)/2</f>
        <v>9371.65</v>
      </c>
    </row>
    <row r="7" ht="30" spans="1:5">
      <c r="A7" s="1">
        <v>6</v>
      </c>
      <c r="B7" s="1" t="s">
        <v>43</v>
      </c>
      <c r="C7" s="2" t="s">
        <v>42</v>
      </c>
      <c r="D7" s="5">
        <f>365/D8</f>
        <v>74.5685426126975</v>
      </c>
      <c r="E7" s="5">
        <f>365/E8</f>
        <v>71.8134099616858</v>
      </c>
    </row>
    <row r="8" ht="30" spans="1:5">
      <c r="A8" s="1">
        <v>7</v>
      </c>
      <c r="B8" s="1" t="s">
        <v>44</v>
      </c>
      <c r="C8" s="2" t="s">
        <v>45</v>
      </c>
      <c r="D8" s="5">
        <f>Лист1!D2/D6</f>
        <v>4.89482544798787</v>
      </c>
      <c r="E8" s="5">
        <f>Лист1!E2/E6</f>
        <v>5.08261618818458</v>
      </c>
    </row>
    <row r="9" ht="45" spans="1:5">
      <c r="A9" s="1">
        <v>8</v>
      </c>
      <c r="B9" s="1" t="s">
        <v>46</v>
      </c>
      <c r="C9" s="2" t="s">
        <v>47</v>
      </c>
      <c r="D9" s="5">
        <f>(Лист1!D10/Лист1!D5)*365</f>
        <v>40.370112863736</v>
      </c>
      <c r="E9" s="5">
        <f>(Лист1!E10/Лист1!E5)*365</f>
        <v>89.4939939184381</v>
      </c>
    </row>
    <row r="10" ht="30" spans="1:5">
      <c r="A10" s="1">
        <v>9</v>
      </c>
      <c r="B10" s="1" t="s">
        <v>48</v>
      </c>
      <c r="C10" s="2" t="s">
        <v>49</v>
      </c>
      <c r="D10" s="5">
        <f>Лист1!D16/Лист1!D12</f>
        <v>1.54896451374167</v>
      </c>
      <c r="E10" s="5">
        <f>Лист1!E16/Лист1!E12</f>
        <v>1.59127798294807</v>
      </c>
    </row>
    <row r="11" ht="30" spans="1:5">
      <c r="A11" s="1">
        <v>10</v>
      </c>
      <c r="B11" s="1" t="s">
        <v>50</v>
      </c>
      <c r="C11" s="2" t="s">
        <v>51</v>
      </c>
      <c r="D11" s="5">
        <f>Лист1!D11/Лист1!D12</f>
        <v>0.0331029465260095</v>
      </c>
      <c r="E11" s="5">
        <f>Лист1!E11/Лист1!E12</f>
        <v>0.0536178361373273</v>
      </c>
    </row>
    <row r="12" ht="30" spans="1:5">
      <c r="A12" s="1">
        <v>11</v>
      </c>
      <c r="B12" s="1" t="s">
        <v>52</v>
      </c>
      <c r="C12" s="2" t="s">
        <v>53</v>
      </c>
      <c r="D12" s="5">
        <f>Лист1!D13/Лист1!D14</f>
        <v>0.520199130541727</v>
      </c>
      <c r="E12" s="5">
        <f>Лист1!E13/Лист1!E14</f>
        <v>0.488099250250324</v>
      </c>
    </row>
    <row r="13" ht="60" spans="1:5">
      <c r="A13" s="1">
        <v>12</v>
      </c>
      <c r="B13" s="1" t="s">
        <v>54</v>
      </c>
      <c r="C13" s="2" t="s">
        <v>55</v>
      </c>
      <c r="D13" s="5">
        <f>(Лист1!D13-Лист1!D15)/Лист1!D16</f>
        <v>0.273369235129773</v>
      </c>
      <c r="E13" s="5">
        <f>(Лист1!E13-Лист1!E15)/Лист1!E16</f>
        <v>0.249287279916336</v>
      </c>
    </row>
    <row r="14" ht="30" spans="1:5">
      <c r="A14" s="1">
        <v>13</v>
      </c>
      <c r="B14" s="1" t="s">
        <v>56</v>
      </c>
      <c r="C14" s="2" t="s">
        <v>57</v>
      </c>
      <c r="D14" s="3">
        <f>Лист1!D6/Лист1!D2</f>
        <v>0.23744874603738</v>
      </c>
      <c r="E14" s="3">
        <f>Лист1!E6/Лист1!E2</f>
        <v>0.275694116412114</v>
      </c>
    </row>
    <row r="15" spans="1:5">
      <c r="A15" s="1">
        <v>14</v>
      </c>
      <c r="B15" s="1" t="s">
        <v>58</v>
      </c>
      <c r="C15" s="2" t="s">
        <v>59</v>
      </c>
      <c r="D15" s="3">
        <f>(Лист1!D2-Лист1!D7)/Лист1!D2</f>
        <v>0.28695120010771</v>
      </c>
      <c r="E15" s="3">
        <f>(Лист1!E2-Лист1!E7)/Лист1!E2</f>
        <v>0.292046396892878</v>
      </c>
    </row>
    <row r="17" ht="17.25" spans="2:2">
      <c r="B17" s="6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levau</dc:creator>
  <cp:lastModifiedBy>levau</cp:lastModifiedBy>
  <dcterms:created xsi:type="dcterms:W3CDTF">2026-02-14T14:55:00Z</dcterms:created>
  <dcterms:modified xsi:type="dcterms:W3CDTF">2026-02-14T16:26:38Z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FA16743ECDFB44EE9E485928B9368B1A_11</vt:lpwstr>
  </property>
  <property fmtid="{D5CDD505-2E9C-101B-9397-08002B2CF9AE}" pid="3" name="KSOProductBuildVer">
    <vt:lpwstr>1049-12.2.0.23149</vt:lpwstr>
  </property>
</Properties>
</file>